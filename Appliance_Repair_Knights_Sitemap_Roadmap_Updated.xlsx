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Overview" sheetId="1" state="visible" r:id="rId1"/>
    <sheet xmlns:r="http://schemas.openxmlformats.org/officeDocument/2006/relationships" name="Full Page Roadmap" sheetId="2" state="visible" r:id="rId2"/>
    <sheet xmlns:r="http://schemas.openxmlformats.org/officeDocument/2006/relationships" name="SEO Guidel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i val="1"/>
      <color rgb="00566573"/>
      <sz val="11"/>
    </font>
    <font>
      <name val="Calibri"/>
      <b val="1"/>
      <color rgb="001B2A4A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B2A4A"/>
      <sz val="11"/>
    </font>
  </fonts>
  <fills count="10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D6EAF8"/>
        <bgColor rgb="00D6EAF8"/>
      </patternFill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Page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'Summary &amp; Overview'!B5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&amp; Overview'!$A$6:$A$9</f>
            </numRef>
          </cat>
          <val>
            <numRef>
              <f>'Summary &amp; Overview'!$B$6:$B$9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0" customWidth="1" min="3" max="3"/>
    <col width="5" customWidth="1" min="4" max="4"/>
    <col width="20" customWidth="1" min="5" max="5"/>
  </cols>
  <sheetData>
    <row r="1">
      <c r="A1" s="1" t="inlineStr">
        <is>
          <t>Appliance Repair Knights - Redesign &amp; SEO Sitemap Roadmap</t>
        </is>
      </c>
    </row>
    <row r="2">
      <c r="A2" s="2" t="inlineStr">
        <is>
          <t>Website Architecture, Page Allocation &amp; On-Page SEO Planning</t>
        </is>
      </c>
    </row>
    <row r="4">
      <c r="A4" s="3" t="inlineStr">
        <is>
          <t>Page Category Breakdown</t>
        </is>
      </c>
    </row>
    <row r="5">
      <c r="A5" s="4" t="inlineStr">
        <is>
          <t>Page Category / Phase</t>
        </is>
      </c>
      <c r="B5" s="4" t="inlineStr">
        <is>
          <t>Total Pages</t>
        </is>
      </c>
      <c r="C5" s="4" t="inlineStr">
        <is>
          <t>Priority Level</t>
        </is>
      </c>
    </row>
    <row r="6">
      <c r="A6" s="5" t="inlineStr">
        <is>
          <t>Phase 1: Core Conversion Pages</t>
        </is>
      </c>
      <c r="B6" s="6">
        <f>COUNTIF('Full Page Roadmap'!B:B, "Core Pages")</f>
        <v/>
      </c>
      <c r="C6" s="7" t="inlineStr">
        <is>
          <t>High (P1)</t>
        </is>
      </c>
    </row>
    <row r="7">
      <c r="A7" s="8" t="inlineStr">
        <is>
          <t>Phase 2: Service Pages</t>
        </is>
      </c>
      <c r="B7" s="9">
        <f>COUNTIF('Full Page Roadmap'!B:B, "Service Pages")</f>
        <v/>
      </c>
      <c r="C7" s="10" t="inlineStr">
        <is>
          <t>High (P1)</t>
        </is>
      </c>
    </row>
    <row r="8">
      <c r="A8" s="5" t="inlineStr">
        <is>
          <t>Phase 3: Location / Service Area Pages</t>
        </is>
      </c>
      <c r="B8" s="6">
        <f>COUNTIF('Full Page Roadmap'!B:B, "Location Pages")</f>
        <v/>
      </c>
      <c r="C8" s="7" t="inlineStr">
        <is>
          <t>Medium (P2)</t>
        </is>
      </c>
    </row>
    <row r="9">
      <c r="A9" s="8" t="inlineStr">
        <is>
          <t>Phase 4: Brand &amp; Legal Pages</t>
        </is>
      </c>
      <c r="B9" s="9">
        <f>COUNTIF('Full Page Roadmap'!B:B, "Brand &amp; Legal")</f>
        <v/>
      </c>
      <c r="C9" s="10" t="inlineStr">
        <is>
          <t>Low (P3)</t>
        </is>
      </c>
    </row>
    <row r="10">
      <c r="A10" s="11" t="inlineStr">
        <is>
          <t>Total Pages to Create / Redesign</t>
        </is>
      </c>
      <c r="B10" s="12">
        <f>SUM(B6:B9)</f>
        <v/>
      </c>
      <c r="C10" s="13" t="inlineStr">
        <is>
          <t>Overall Site</t>
        </is>
      </c>
    </row>
    <row r="12">
      <c r="A12" s="3" t="inlineStr">
        <is>
          <t>Redesign Status Overview</t>
        </is>
      </c>
    </row>
    <row r="13">
      <c r="A13" s="14" t="inlineStr">
        <is>
          <t>Status</t>
        </is>
      </c>
      <c r="B13" s="14" t="inlineStr">
        <is>
          <t>Page Count</t>
        </is>
      </c>
      <c r="C13" s="14" t="inlineStr">
        <is>
          <t>% of Total</t>
        </is>
      </c>
    </row>
    <row r="14">
      <c r="A14" s="15" t="inlineStr">
        <is>
          <t>Not Started</t>
        </is>
      </c>
      <c r="B14" s="16">
        <f>COUNTIF('Full Page Roadmap'!K:K, "Not Started")</f>
        <v/>
      </c>
      <c r="C14" s="17">
        <f>B14/B10</f>
        <v/>
      </c>
    </row>
    <row r="15">
      <c r="A15" s="15" t="inlineStr">
        <is>
          <t>In Progress</t>
        </is>
      </c>
      <c r="B15" s="16">
        <f>COUNTIF('Full Page Roadmap'!K:K, "In Progress")</f>
        <v/>
      </c>
      <c r="C15" s="17">
        <f>B15/B10</f>
        <v/>
      </c>
    </row>
    <row r="16">
      <c r="A16" s="15" t="inlineStr">
        <is>
          <t>In Review</t>
        </is>
      </c>
      <c r="B16" s="16">
        <f>COUNTIF('Full Page Roadmap'!K:K, "In Review")</f>
        <v/>
      </c>
      <c r="C16" s="17">
        <f>B16/B10</f>
        <v/>
      </c>
    </row>
    <row r="17">
      <c r="A17" s="15" t="inlineStr">
        <is>
          <t>Completed</t>
        </is>
      </c>
      <c r="B17" s="16">
        <f>COUNTIF('Full Page Roadmap'!K:K, "Completed")</f>
        <v/>
      </c>
      <c r="C17" s="17">
        <f>B17/B10</f>
        <v/>
      </c>
    </row>
  </sheetData>
  <mergeCells count="4">
    <mergeCell ref="A2:E2"/>
    <mergeCell ref="A4:C4"/>
    <mergeCell ref="A1:E1"/>
    <mergeCell ref="A12:C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8" customWidth="1" min="4" max="4"/>
    <col width="34" customWidth="1" min="5" max="5"/>
    <col width="35" customWidth="1" min="6" max="6"/>
    <col width="40" customWidth="1" min="7" max="7"/>
    <col width="50" customWidth="1" min="8" max="8"/>
    <col width="38" customWidth="1" min="9" max="9"/>
    <col width="26" customWidth="1" min="10" max="10"/>
    <col width="16" customWidth="1" min="11" max="11"/>
  </cols>
  <sheetData>
    <row r="1" ht="28" customHeight="1">
      <c r="A1" s="4" t="inlineStr">
        <is>
          <t>S.No</t>
        </is>
      </c>
      <c r="B1" s="4" t="inlineStr">
        <is>
          <t>Category</t>
        </is>
      </c>
      <c r="C1" s="4" t="inlineStr">
        <is>
          <t>Priority</t>
        </is>
      </c>
      <c r="D1" s="4" t="inlineStr">
        <is>
          <t>Page Name</t>
        </is>
      </c>
      <c r="E1" s="4" t="inlineStr">
        <is>
          <t>Target URL / Slug</t>
        </is>
      </c>
      <c r="F1" s="4" t="inlineStr">
        <is>
          <t>Primary Keywords</t>
        </is>
      </c>
      <c r="G1" s="4" t="inlineStr">
        <is>
          <t>Meta Title (50-60 chars)</t>
        </is>
      </c>
      <c r="H1" s="4" t="inlineStr">
        <is>
          <t>Meta Description (140-155 chars)</t>
        </is>
      </c>
      <c r="I1" s="4" t="inlineStr">
        <is>
          <t>H1 Heading</t>
        </is>
      </c>
      <c r="J1" s="4" t="inlineStr">
        <is>
          <t>Recommended CTA</t>
        </is>
      </c>
      <c r="K1" s="4" t="inlineStr">
        <is>
          <t>Status</t>
        </is>
      </c>
    </row>
    <row r="2" ht="36" customHeight="1">
      <c r="A2" s="18" t="n">
        <v>1</v>
      </c>
      <c r="B2" s="18" t="inlineStr">
        <is>
          <t>Core Pages</t>
        </is>
      </c>
      <c r="C2" s="19" t="inlineStr">
        <is>
          <t>P1 - High</t>
        </is>
      </c>
      <c r="D2" s="20" t="inlineStr">
        <is>
          <t>Homepage</t>
        </is>
      </c>
      <c r="E2" s="20" t="inlineStr">
        <is>
          <t>/</t>
        </is>
      </c>
      <c r="F2" s="20" t="inlineStr">
        <is>
          <t>appliance repair near me, appliance repair GTA, emergency appliance repair</t>
        </is>
      </c>
      <c r="G2" s="20" t="inlineStr">
        <is>
          <t>#1 Appliance Repair Service in GTA &amp; Surrounding Areas | 24/7</t>
        </is>
      </c>
      <c r="H2" s="20" t="inlineStr">
        <is>
          <t>Fast, same-day appliance repair across GTA, Kitchener-Waterloo &amp; Hamilton. Certified technicians, transparent pricing &amp; warranty. Call 905-717-8905!</t>
        </is>
      </c>
      <c r="I2" s="20" t="inlineStr">
        <is>
          <t>Expert Appliance Repair Services in Greater Toronto Area</t>
        </is>
      </c>
      <c r="J2" s="20" t="inlineStr">
        <is>
          <t>Call 905-717-8905 / Schedule Online</t>
        </is>
      </c>
      <c r="K2" s="21" t="inlineStr">
        <is>
          <t>In Progress</t>
        </is>
      </c>
    </row>
    <row r="3" ht="36" customHeight="1">
      <c r="A3" s="10" t="n">
        <v>2</v>
      </c>
      <c r="B3" s="10" t="inlineStr">
        <is>
          <t>Core Pages</t>
        </is>
      </c>
      <c r="C3" s="9" t="inlineStr">
        <is>
          <t>P1 - High</t>
        </is>
      </c>
      <c r="D3" s="8" t="inlineStr">
        <is>
          <t>Booking / Calendar</t>
        </is>
      </c>
      <c r="E3" s="8" t="inlineStr">
        <is>
          <t>/booking-calendar</t>
        </is>
      </c>
      <c r="F3" s="8" t="inlineStr">
        <is>
          <t>book appliance repair online, schedule repair service</t>
        </is>
      </c>
      <c r="G3" s="8" t="inlineStr">
        <is>
          <t>Schedule Appliance Repair Online | Appliance Repair Knights</t>
        </is>
      </c>
      <c r="H3" s="8" t="inlineStr">
        <is>
          <t>Book your appliance repair appointment online in under 60 seconds. Choose your date &amp; time slot. 24/7 fast service across GTA. Book now!</t>
        </is>
      </c>
      <c r="I3" s="8" t="inlineStr">
        <is>
          <t>Schedule Your Appliance Inspection &amp; Repair</t>
        </is>
      </c>
      <c r="J3" s="8" t="inlineStr">
        <is>
          <t>Select Date &amp; Time Slot</t>
        </is>
      </c>
      <c r="K3" s="22" t="inlineStr">
        <is>
          <t>Not Started</t>
        </is>
      </c>
    </row>
    <row r="4" ht="36" customHeight="1">
      <c r="A4" s="18" t="n">
        <v>3</v>
      </c>
      <c r="B4" s="18" t="inlineStr">
        <is>
          <t>Core Pages</t>
        </is>
      </c>
      <c r="C4" s="19" t="inlineStr">
        <is>
          <t>P1 - High</t>
        </is>
      </c>
      <c r="D4" s="20" t="inlineStr">
        <is>
          <t>Contact Us</t>
        </is>
      </c>
      <c r="E4" s="20" t="inlineStr">
        <is>
          <t>/contact</t>
        </is>
      </c>
      <c r="F4" s="20" t="inlineStr">
        <is>
          <t>appliance repair knights contact, appliance repair phone number</t>
        </is>
      </c>
      <c r="G4" s="20" t="inlineStr">
        <is>
          <t>Contact Appliance Repair Knights | 24/7 Emergency Line</t>
        </is>
      </c>
      <c r="H4" s="20" t="inlineStr">
        <is>
          <t>Need urgent appliance repair? Contact Appliance Repair Knights at 905-717-8905. Available 24/7 across GTA, Kitchener, Hamilton &amp; Oshawa.</t>
        </is>
      </c>
      <c r="I4" s="20" t="inlineStr">
        <is>
          <t>Get in Touch With Appliance Repair Knights</t>
        </is>
      </c>
      <c r="J4" s="20" t="inlineStr">
        <is>
          <t>Call 905-717-8905 Now</t>
        </is>
      </c>
      <c r="K4" s="22" t="inlineStr">
        <is>
          <t>Not Started</t>
        </is>
      </c>
    </row>
    <row r="5" ht="36" customHeight="1">
      <c r="A5" s="10" t="n">
        <v>4</v>
      </c>
      <c r="B5" s="10" t="inlineStr">
        <is>
          <t>Service Pages</t>
        </is>
      </c>
      <c r="C5" s="9" t="inlineStr">
        <is>
          <t>P1 - High</t>
        </is>
      </c>
      <c r="D5" s="8" t="inlineStr">
        <is>
          <t>Dishwasher Inspection &amp; Repair</t>
        </is>
      </c>
      <c r="E5" s="8" t="inlineStr">
        <is>
          <t>/services/dishwasher-repair</t>
        </is>
      </c>
      <c r="F5" s="8" t="inlineStr">
        <is>
          <t>dishwasher repair service, dishwasher inspection, fix leaking dishwasher</t>
        </is>
      </c>
      <c r="G5" s="8" t="inlineStr">
        <is>
          <t>Fast Dishwasher Repair &amp; Inspection Services | Same Day Service</t>
        </is>
      </c>
      <c r="H5" s="8" t="inlineStr">
        <is>
          <t>Dishwasher not draining or cleaning? Professional dishwasher inspection &amp; repair across GTA. Certified technicians, transparent rates. Call today!</t>
        </is>
      </c>
      <c r="I5" s="8" t="inlineStr">
        <is>
          <t>Professional Dishwasher Inspection &amp; Repair Services</t>
        </is>
      </c>
      <c r="J5" s="8" t="inlineStr">
        <is>
          <t>Book Dishwasher Service</t>
        </is>
      </c>
      <c r="K5" s="22" t="inlineStr">
        <is>
          <t>Not Started</t>
        </is>
      </c>
    </row>
    <row r="6" ht="36" customHeight="1">
      <c r="A6" s="18" t="n">
        <v>5</v>
      </c>
      <c r="B6" s="18" t="inlineStr">
        <is>
          <t>Service Pages</t>
        </is>
      </c>
      <c r="C6" s="19" t="inlineStr">
        <is>
          <t>P1 - High</t>
        </is>
      </c>
      <c r="D6" s="20" t="inlineStr">
        <is>
          <t>Fridge Repair &amp; Installation</t>
        </is>
      </c>
      <c r="E6" s="20" t="inlineStr">
        <is>
          <t>/services/refrigerator-repair</t>
        </is>
      </c>
      <c r="F6" s="20" t="inlineStr">
        <is>
          <t>refrigerator repair near me, fridge installation, fix cooling issues</t>
        </is>
      </c>
      <c r="G6" s="20" t="inlineStr">
        <is>
          <t>Fridge Repair &amp; Installation Services | Emergency 24/7 Repair</t>
        </is>
      </c>
      <c r="H6" s="20" t="inlineStr">
        <is>
          <t>Reliable refrigerator repair &amp; installation. Fixing cooling issues, leaks, and strange noises. Same-day service available. Call 905-717-8905.</t>
        </is>
      </c>
      <c r="I6" s="20" t="inlineStr">
        <is>
          <t>Reliable Refrigerator Repair &amp; Installation Services</t>
        </is>
      </c>
      <c r="J6" s="20" t="inlineStr">
        <is>
          <t>Call for Same-Day Fridge Repair</t>
        </is>
      </c>
      <c r="K6" s="22" t="inlineStr">
        <is>
          <t>Not Started</t>
        </is>
      </c>
    </row>
    <row r="7" ht="36" customHeight="1">
      <c r="A7" s="10" t="n">
        <v>6</v>
      </c>
      <c r="B7" s="10" t="inlineStr">
        <is>
          <t>Service Pages</t>
        </is>
      </c>
      <c r="C7" s="9" t="inlineStr">
        <is>
          <t>P1 - High</t>
        </is>
      </c>
      <c r="D7" s="8" t="inlineStr">
        <is>
          <t>Washing Machine Repair</t>
        </is>
      </c>
      <c r="E7" s="8" t="inlineStr">
        <is>
          <t>/services/washer-repair</t>
        </is>
      </c>
      <c r="F7" s="8" t="inlineStr">
        <is>
          <t>washing machine repair service, washer diagnostic, fix washer spin cycle</t>
        </is>
      </c>
      <c r="G7" s="8" t="inlineStr">
        <is>
          <t>Washing Machine Diagnostic &amp; Repair | Certified Techs</t>
        </is>
      </c>
      <c r="H7" s="8" t="inlineStr">
        <is>
          <t>Fast washing machine repair &amp; diagnostic services. Spin cycle issues, leaks, &amp; error codes fixed fast. Certified techs with 90-day warranty.</t>
        </is>
      </c>
      <c r="I7" s="8" t="inlineStr">
        <is>
          <t>Washing Machine Repair &amp; Diagnostic Services</t>
        </is>
      </c>
      <c r="J7" s="8" t="inlineStr">
        <is>
          <t>Schedule Washer Diagnostic</t>
        </is>
      </c>
      <c r="K7" s="22" t="inlineStr">
        <is>
          <t>Not Started</t>
        </is>
      </c>
    </row>
    <row r="8" ht="36" customHeight="1">
      <c r="A8" s="18" t="n">
        <v>7</v>
      </c>
      <c r="B8" s="18" t="inlineStr">
        <is>
          <t>Service Pages</t>
        </is>
      </c>
      <c r="C8" s="19" t="inlineStr">
        <is>
          <t>P1 - High</t>
        </is>
      </c>
      <c r="D8" s="20" t="inlineStr">
        <is>
          <t>Dryer Repair &amp; Duct Cleaning</t>
        </is>
      </c>
      <c r="E8" s="20" t="inlineStr">
        <is>
          <t>/services/dryer-repair</t>
        </is>
      </c>
      <c r="F8" s="20" t="inlineStr">
        <is>
          <t>dryer repair service, dryer duct cleaning, dryer not heating</t>
        </is>
      </c>
      <c r="G8" s="20" t="inlineStr">
        <is>
          <t>Dryer Repair &amp; Duct Cleaning Services | Appliance Repair Knights</t>
        </is>
      </c>
      <c r="H8" s="20" t="inlineStr">
        <is>
          <t>Dryer not heating or venting properly? Expert dryer repair and vent cleaning services. Prevent fire hazards &amp; lower bills. Call 905-717-8905.</t>
        </is>
      </c>
      <c r="I8" s="20" t="inlineStr">
        <is>
          <t>Expert Dryer Repair &amp; Vent Cleaning Services</t>
        </is>
      </c>
      <c r="J8" s="20" t="inlineStr">
        <is>
          <t>Book Dryer Repair</t>
        </is>
      </c>
      <c r="K8" s="22" t="inlineStr">
        <is>
          <t>Not Started</t>
        </is>
      </c>
    </row>
    <row r="9" ht="36" customHeight="1">
      <c r="A9" s="10" t="n">
        <v>8</v>
      </c>
      <c r="B9" s="10" t="inlineStr">
        <is>
          <t>Service Pages</t>
        </is>
      </c>
      <c r="C9" s="9" t="inlineStr">
        <is>
          <t>P1 - High</t>
        </is>
      </c>
      <c r="D9" s="8" t="inlineStr">
        <is>
          <t>Stove &amp; Range Repair</t>
        </is>
      </c>
      <c r="E9" s="8" t="inlineStr">
        <is>
          <t>/services/stove-repair</t>
        </is>
      </c>
      <c r="F9" s="8" t="inlineStr">
        <is>
          <t>stove repair, induction oven repair, gas range repair GTA</t>
        </is>
      </c>
      <c r="G9" s="8" t="inlineStr">
        <is>
          <t>Stove, Range &amp; Induction Oven Repair Services | Fast Fix</t>
        </is>
      </c>
      <c r="H9" s="8" t="inlineStr">
        <is>
          <t>Gas &amp; electric stove, range, and induction oven repair. Certified technicians, genuine parts, same-day scheduling. Call 905-717-8905.</t>
        </is>
      </c>
      <c r="I9" s="8" t="inlineStr">
        <is>
          <t>Stove, Range &amp; Induction Oven Repair Services</t>
        </is>
      </c>
      <c r="J9" s="8" t="inlineStr">
        <is>
          <t>Book Stove Repair</t>
        </is>
      </c>
      <c r="K9" s="22" t="inlineStr">
        <is>
          <t>Not Started</t>
        </is>
      </c>
    </row>
    <row r="10" ht="36" customHeight="1">
      <c r="A10" s="18" t="n">
        <v>9</v>
      </c>
      <c r="B10" s="18" t="inlineStr">
        <is>
          <t>Service Pages</t>
        </is>
      </c>
      <c r="C10" s="19" t="inlineStr">
        <is>
          <t>P1 - High</t>
        </is>
      </c>
      <c r="D10" s="20" t="inlineStr">
        <is>
          <t>Microwave Repair &amp; Installation</t>
        </is>
      </c>
      <c r="E10" s="20" t="inlineStr">
        <is>
          <t>/services/microwave-repair</t>
        </is>
      </c>
      <c r="F10" s="20" t="inlineStr">
        <is>
          <t>microwave repair service, built-in microwave installation</t>
        </is>
      </c>
      <c r="G10" s="20" t="inlineStr">
        <is>
          <t>Microwave Repair &amp; Installation Services | Local Technicians</t>
        </is>
      </c>
      <c r="H10" s="20" t="inlineStr">
        <is>
          <t>Fast built-in and over-the-range microwave repair &amp; installation. Trusted local technicians across GTA. Book online or call today!</t>
        </is>
      </c>
      <c r="I10" s="20" t="inlineStr">
        <is>
          <t>Microwave Repair &amp; Installation Services</t>
        </is>
      </c>
      <c r="J10" s="20" t="inlineStr">
        <is>
          <t>Schedule Microwave Service</t>
        </is>
      </c>
      <c r="K10" s="22" t="inlineStr">
        <is>
          <t>Not Started</t>
        </is>
      </c>
    </row>
    <row r="11" ht="36" customHeight="1">
      <c r="A11" s="10" t="n">
        <v>10</v>
      </c>
      <c r="B11" s="10" t="inlineStr">
        <is>
          <t>Location Pages</t>
        </is>
      </c>
      <c r="C11" s="9" t="inlineStr">
        <is>
          <t>P2 - Medium</t>
        </is>
      </c>
      <c r="D11" s="8" t="inlineStr">
        <is>
          <t>Toronto Appliance Repair</t>
        </is>
      </c>
      <c r="E11" s="8" t="inlineStr">
        <is>
          <t>/locations/toronto-appliance-repair</t>
        </is>
      </c>
      <c r="F11" s="8" t="inlineStr">
        <is>
          <t>appliance repair toronto, toronto appliance technician</t>
        </is>
      </c>
      <c r="G11" s="8" t="inlineStr">
        <is>
          <t>Top Appliance Repair Services in Toronto, ON | Same-Day Service</t>
        </is>
      </c>
      <c r="H11" s="8" t="inlineStr">
        <is>
          <t>Trusted appliance repair in Toronto. We fix fridges, washers, dryers, stoves &amp; dishwashers. Available 24/7. Call 905-717-8905 for fast service!</t>
        </is>
      </c>
      <c r="I11" s="8" t="inlineStr">
        <is>
          <t>Fast &amp; Reliable Appliance Repair Services in Toronto</t>
        </is>
      </c>
      <c r="J11" s="8" t="inlineStr">
        <is>
          <t>Call Toronto Tech</t>
        </is>
      </c>
      <c r="K11" s="22" t="inlineStr">
        <is>
          <t>Not Started</t>
        </is>
      </c>
    </row>
    <row r="12" ht="36" customHeight="1">
      <c r="A12" s="18" t="n">
        <v>11</v>
      </c>
      <c r="B12" s="18" t="inlineStr">
        <is>
          <t>Location Pages</t>
        </is>
      </c>
      <c r="C12" s="19" t="inlineStr">
        <is>
          <t>P2 - Medium</t>
        </is>
      </c>
      <c r="D12" s="20" t="inlineStr">
        <is>
          <t>Mississauga Appliance Repair</t>
        </is>
      </c>
      <c r="E12" s="20" t="inlineStr">
        <is>
          <t>/locations/mississauga-appliance-repair</t>
        </is>
      </c>
      <c r="F12" s="20" t="inlineStr">
        <is>
          <t>appliance repair mississauga, mississauga appliance fix</t>
        </is>
      </c>
      <c r="G12" s="20" t="inlineStr">
        <is>
          <t>Appliance Repair Mississauga | Certified Local Technicians</t>
        </is>
      </c>
      <c r="H12" s="20" t="inlineStr">
        <is>
          <t>Fast, local appliance repair services in Mississauga. Same-day repairs for all major brands. Book online or call 905-717-8905 today!</t>
        </is>
      </c>
      <c r="I12" s="20" t="inlineStr">
        <is>
          <t>Professional Appliance Repair Services in Mississauga</t>
        </is>
      </c>
      <c r="J12" s="20" t="inlineStr">
        <is>
          <t>Book Mississauga Service</t>
        </is>
      </c>
      <c r="K12" s="22" t="inlineStr">
        <is>
          <t>Not Started</t>
        </is>
      </c>
    </row>
    <row r="13" ht="36" customHeight="1">
      <c r="A13" s="10" t="n">
        <v>12</v>
      </c>
      <c r="B13" s="10" t="inlineStr">
        <is>
          <t>Location Pages</t>
        </is>
      </c>
      <c r="C13" s="9" t="inlineStr">
        <is>
          <t>P2 - Medium</t>
        </is>
      </c>
      <c r="D13" s="8" t="inlineStr">
        <is>
          <t>Brampton Appliance Repair</t>
        </is>
      </c>
      <c r="E13" s="8" t="inlineStr">
        <is>
          <t>/locations/brampton-appliance-repair</t>
        </is>
      </c>
      <c r="F13" s="8" t="inlineStr">
        <is>
          <t>appliance repair brampton, brampton fridge repair</t>
        </is>
      </c>
      <c r="G13" s="8" t="inlineStr">
        <is>
          <t>Expert Appliance Repair Brampton | 24/7 Local Technicians</t>
        </is>
      </c>
      <c r="H13" s="8" t="inlineStr">
        <is>
          <t>Need appliance repair in Brampton? Fast same-day service for refrigerators, washers, dishwashers &amp; stoves. Upfront pricing &amp; warranty.</t>
        </is>
      </c>
      <c r="I13" s="8" t="inlineStr">
        <is>
          <t>Trusted Appliance Repair Services in Brampton</t>
        </is>
      </c>
      <c r="J13" s="8" t="inlineStr">
        <is>
          <t>Call Brampton Tech</t>
        </is>
      </c>
      <c r="K13" s="22" t="inlineStr">
        <is>
          <t>Not Started</t>
        </is>
      </c>
    </row>
    <row r="14" ht="36" customHeight="1">
      <c r="A14" s="18" t="n">
        <v>13</v>
      </c>
      <c r="B14" s="18" t="inlineStr">
        <is>
          <t>Location Pages</t>
        </is>
      </c>
      <c r="C14" s="19" t="inlineStr">
        <is>
          <t>P2 - Medium</t>
        </is>
      </c>
      <c r="D14" s="20" t="inlineStr">
        <is>
          <t>Vaughan Appliance Repair</t>
        </is>
      </c>
      <c r="E14" s="20" t="inlineStr">
        <is>
          <t>/locations/vaughan-appliance-repair</t>
        </is>
      </c>
      <c r="F14" s="20" t="inlineStr">
        <is>
          <t>appliance repair vaughan, vaughan washer repair</t>
        </is>
      </c>
      <c r="G14" s="20" t="inlineStr">
        <is>
          <t>Same Day Appliance Repair Vaughan | Licensed Technicians</t>
        </is>
      </c>
      <c r="H14" s="20" t="inlineStr">
        <is>
          <t>Professional appliance repair in Vaughan. Certified technicians for fridge, oven, dryer &amp; dishwasher repairs. Call 905-717-8905 now!</t>
        </is>
      </c>
      <c r="I14" s="20" t="inlineStr">
        <is>
          <t>Same-Day Appliance Repair Services in Vaughan</t>
        </is>
      </c>
      <c r="J14" s="20" t="inlineStr">
        <is>
          <t>Schedule Repair in Vaughan</t>
        </is>
      </c>
      <c r="K14" s="22" t="inlineStr">
        <is>
          <t>Not Started</t>
        </is>
      </c>
    </row>
    <row r="15" ht="36" customHeight="1">
      <c r="A15" s="10" t="n">
        <v>14</v>
      </c>
      <c r="B15" s="10" t="inlineStr">
        <is>
          <t>Location Pages</t>
        </is>
      </c>
      <c r="C15" s="9" t="inlineStr">
        <is>
          <t>P2 - Medium</t>
        </is>
      </c>
      <c r="D15" s="8" t="inlineStr">
        <is>
          <t>Markham Appliance Repair</t>
        </is>
      </c>
      <c r="E15" s="8" t="inlineStr">
        <is>
          <t>/locations/markham-appliance-repair</t>
        </is>
      </c>
      <c r="F15" s="8" t="inlineStr">
        <is>
          <t>appliance repair markham, markham appliance technician</t>
        </is>
      </c>
      <c r="G15" s="8" t="inlineStr">
        <is>
          <t>Appliance Repair Markham | Fast 24/7 Service Guarantee</t>
        </is>
      </c>
      <c r="H15" s="8" t="inlineStr">
        <is>
          <t>Dependable appliance repair in Markham, ON. All home appliances serviced with original spare parts and warranty. Call 905-717-8905.</t>
        </is>
      </c>
      <c r="I15" s="8" t="inlineStr">
        <is>
          <t>Dependable Appliance Repair Services in Markham</t>
        </is>
      </c>
      <c r="J15" s="8" t="inlineStr">
        <is>
          <t>Book Markham Tech</t>
        </is>
      </c>
      <c r="K15" s="22" t="inlineStr">
        <is>
          <t>Not Started</t>
        </is>
      </c>
    </row>
    <row r="16" ht="36" customHeight="1">
      <c r="A16" s="18" t="n">
        <v>15</v>
      </c>
      <c r="B16" s="18" t="inlineStr">
        <is>
          <t>Location Pages</t>
        </is>
      </c>
      <c r="C16" s="19" t="inlineStr">
        <is>
          <t>P2 - Medium</t>
        </is>
      </c>
      <c r="D16" s="20" t="inlineStr">
        <is>
          <t>Oakville Appliance Repair</t>
        </is>
      </c>
      <c r="E16" s="20" t="inlineStr">
        <is>
          <t>/locations/oakville-appliance-repair</t>
        </is>
      </c>
      <c r="F16" s="20" t="inlineStr">
        <is>
          <t>appliance repair oakville, oakville dryer repair</t>
        </is>
      </c>
      <c r="G16" s="20" t="inlineStr">
        <is>
          <t>Appliance Repair Oakville | Fast Local Service &amp; Repairs</t>
        </is>
      </c>
      <c r="H16" s="20" t="inlineStr">
        <is>
          <t>Top-rated appliance repair service in Oakville. Emergency fridge, washer, dryer, and stove repairs. Book online or call 905-717-8905.</t>
        </is>
      </c>
      <c r="I16" s="20" t="inlineStr">
        <is>
          <t>Top-Rated Appliance Repair Services in Oakville</t>
        </is>
      </c>
      <c r="J16" s="20" t="inlineStr">
        <is>
          <t>Call Oakville Tech</t>
        </is>
      </c>
      <c r="K16" s="22" t="inlineStr">
        <is>
          <t>Not Started</t>
        </is>
      </c>
    </row>
    <row r="17" ht="36" customHeight="1">
      <c r="A17" s="10" t="n">
        <v>16</v>
      </c>
      <c r="B17" s="10" t="inlineStr">
        <is>
          <t>Location Pages</t>
        </is>
      </c>
      <c r="C17" s="9" t="inlineStr">
        <is>
          <t>P2 - Medium</t>
        </is>
      </c>
      <c r="D17" s="8" t="inlineStr">
        <is>
          <t>Scarborough Appliance Repair</t>
        </is>
      </c>
      <c r="E17" s="8" t="inlineStr">
        <is>
          <t>/locations/scarborough-appliance-repair</t>
        </is>
      </c>
      <c r="F17" s="8" t="inlineStr">
        <is>
          <t>appliance repair scarborough, scarborough appliance fix</t>
        </is>
      </c>
      <c r="G17" s="8" t="inlineStr">
        <is>
          <t>Same-Day Appliance Repair Scarborough | 24/7 Availability</t>
        </is>
      </c>
      <c r="H17" s="8" t="inlineStr">
        <is>
          <t>Fast appliance repair service in Scarborough. Certified local repair technicians for all major home appliances. Call 905-717-8905 today!</t>
        </is>
      </c>
      <c r="I17" s="8" t="inlineStr">
        <is>
          <t>Fast Appliance Repair Services in Scarborough</t>
        </is>
      </c>
      <c r="J17" s="8" t="inlineStr">
        <is>
          <t>Schedule in Scarborough</t>
        </is>
      </c>
      <c r="K17" s="22" t="inlineStr">
        <is>
          <t>Not Started</t>
        </is>
      </c>
    </row>
    <row r="18" ht="36" customHeight="1">
      <c r="A18" s="18" t="n">
        <v>17</v>
      </c>
      <c r="B18" s="18" t="inlineStr">
        <is>
          <t>Location Pages</t>
        </is>
      </c>
      <c r="C18" s="19" t="inlineStr">
        <is>
          <t>P2 - Medium</t>
        </is>
      </c>
      <c r="D18" s="20" t="inlineStr">
        <is>
          <t>Richmond Hill Appliance Repair</t>
        </is>
      </c>
      <c r="E18" s="20" t="inlineStr">
        <is>
          <t>/locations/richmond-hill-appliance-repair</t>
        </is>
      </c>
      <c r="F18" s="20" t="inlineStr">
        <is>
          <t>appliance repair richmond hill, richmond hill fridge fix</t>
        </is>
      </c>
      <c r="G18" s="20" t="inlineStr">
        <is>
          <t>Appliance Repair Richmond Hill | Expert Local Repairmen</t>
        </is>
      </c>
      <c r="H18" s="20" t="inlineStr">
        <is>
          <t>Reliable home appliance repair in Richmond Hill. Same-day appointments available for dishwashers, dryers, and refrigerators.</t>
        </is>
      </c>
      <c r="I18" s="20" t="inlineStr">
        <is>
          <t>Expert Appliance Repair Services in Richmond Hill</t>
        </is>
      </c>
      <c r="J18" s="20" t="inlineStr">
        <is>
          <t>Book Richmond Hill Tech</t>
        </is>
      </c>
      <c r="K18" s="22" t="inlineStr">
        <is>
          <t>Not Started</t>
        </is>
      </c>
    </row>
    <row r="19" ht="36" customHeight="1">
      <c r="A19" s="10" t="n">
        <v>18</v>
      </c>
      <c r="B19" s="10" t="inlineStr">
        <is>
          <t>Location Pages</t>
        </is>
      </c>
      <c r="C19" s="9" t="inlineStr">
        <is>
          <t>P2 - Medium</t>
        </is>
      </c>
      <c r="D19" s="8" t="inlineStr">
        <is>
          <t>Burlington Appliance Repair</t>
        </is>
      </c>
      <c r="E19" s="8" t="inlineStr">
        <is>
          <t>/locations/burlington-appliance-repair</t>
        </is>
      </c>
      <c r="F19" s="8" t="inlineStr">
        <is>
          <t>appliance repair burlington, burlington stove repair</t>
        </is>
      </c>
      <c r="G19" s="8" t="inlineStr">
        <is>
          <t>Appliance Repair Burlington | Fast Response 24/7</t>
        </is>
      </c>
      <c r="H19" s="8" t="inlineStr">
        <is>
          <t>Quality appliance repair in Burlington. Certified local technicians ready to fix your broken appliances today. Call 905-717-8905.</t>
        </is>
      </c>
      <c r="I19" s="8" t="inlineStr">
        <is>
          <t>Quality Appliance Repair Services in Burlington</t>
        </is>
      </c>
      <c r="J19" s="8" t="inlineStr">
        <is>
          <t>Call Burlington Tech</t>
        </is>
      </c>
      <c r="K19" s="22" t="inlineStr">
        <is>
          <t>Not Started</t>
        </is>
      </c>
    </row>
    <row r="20" ht="36" customHeight="1">
      <c r="A20" s="18" t="n">
        <v>19</v>
      </c>
      <c r="B20" s="18" t="inlineStr">
        <is>
          <t>Location Pages</t>
        </is>
      </c>
      <c r="C20" s="19" t="inlineStr">
        <is>
          <t>P2 - Medium</t>
        </is>
      </c>
      <c r="D20" s="20" t="inlineStr">
        <is>
          <t>Hamilton Appliance Repair</t>
        </is>
      </c>
      <c r="E20" s="20" t="inlineStr">
        <is>
          <t>/locations/hamilton-appliance-repair</t>
        </is>
      </c>
      <c r="F20" s="20" t="inlineStr">
        <is>
          <t>appliance repair hamilton, hamilton appliance technician</t>
        </is>
      </c>
      <c r="G20" s="20" t="inlineStr">
        <is>
          <t>Top Appliance Repair Hamilton | Fast &amp; Affordable Service</t>
        </is>
      </c>
      <c r="H20" s="20" t="inlineStr">
        <is>
          <t>Expert appliance repair across Hamilton &amp; surrounding areas. Affordable pricing, certified technicians, and 90-day parts warranty.</t>
        </is>
      </c>
      <c r="I20" s="20" t="inlineStr">
        <is>
          <t>Affordable Appliance Repair Services in Hamilton</t>
        </is>
      </c>
      <c r="J20" s="20" t="inlineStr">
        <is>
          <t>Book Hamilton Service</t>
        </is>
      </c>
      <c r="K20" s="22" t="inlineStr">
        <is>
          <t>Not Started</t>
        </is>
      </c>
    </row>
    <row r="21" ht="36" customHeight="1">
      <c r="A21" s="10" t="n">
        <v>20</v>
      </c>
      <c r="B21" s="10" t="inlineStr">
        <is>
          <t>Location Pages</t>
        </is>
      </c>
      <c r="C21" s="9" t="inlineStr">
        <is>
          <t>P2 - Medium</t>
        </is>
      </c>
      <c r="D21" s="8" t="inlineStr">
        <is>
          <t>Kitchener Appliance Repair</t>
        </is>
      </c>
      <c r="E21" s="8" t="inlineStr">
        <is>
          <t>/locations/kitchener-appliance-repair</t>
        </is>
      </c>
      <c r="F21" s="8" t="inlineStr">
        <is>
          <t>appliance repair kitchener, kitchener appliance fix</t>
        </is>
      </c>
      <c r="G21" s="8" t="inlineStr">
        <is>
          <t>Appliance Repair Kitchener | Kitchener-Waterloo Region</t>
        </is>
      </c>
      <c r="H21" s="8" t="inlineStr">
        <is>
          <t>Serving Kitchener with fast, professional appliance repairs. Refrigerator, washing machine, stove &amp; dryer fix. Call 905-717-8905.</t>
        </is>
      </c>
      <c r="I21" s="8" t="inlineStr">
        <is>
          <t>Professional Appliance Repair Services in Kitchener</t>
        </is>
      </c>
      <c r="J21" s="8" t="inlineStr">
        <is>
          <t>Call Kitchener Tech</t>
        </is>
      </c>
      <c r="K21" s="22" t="inlineStr">
        <is>
          <t>Not Started</t>
        </is>
      </c>
    </row>
    <row r="22" ht="36" customHeight="1">
      <c r="A22" s="18" t="n">
        <v>21</v>
      </c>
      <c r="B22" s="18" t="inlineStr">
        <is>
          <t>Location Pages</t>
        </is>
      </c>
      <c r="C22" s="19" t="inlineStr">
        <is>
          <t>P2 - Medium</t>
        </is>
      </c>
      <c r="D22" s="20" t="inlineStr">
        <is>
          <t>Waterloo Appliance Repair</t>
        </is>
      </c>
      <c r="E22" s="20" t="inlineStr">
        <is>
          <t>/locations/waterloo-appliance-repair</t>
        </is>
      </c>
      <c r="F22" s="20" t="inlineStr">
        <is>
          <t>appliance repair waterloo, waterloo fridge repair</t>
        </is>
      </c>
      <c r="G22" s="20" t="inlineStr">
        <is>
          <t>Same-Day Appliance Repair Waterloo | Trusted Local Pros</t>
        </is>
      </c>
      <c r="H22" s="20" t="inlineStr">
        <is>
          <t>Reliable appliance repair in Waterloo, ON. Certified techs, same-day scheduling, and upfront quote with no hidden fees.</t>
        </is>
      </c>
      <c r="I22" s="20" t="inlineStr">
        <is>
          <t>Trusted Local Appliance Repair Services in Waterloo</t>
        </is>
      </c>
      <c r="J22" s="20" t="inlineStr">
        <is>
          <t>Schedule in Waterloo</t>
        </is>
      </c>
      <c r="K22" s="22" t="inlineStr">
        <is>
          <t>Not Started</t>
        </is>
      </c>
    </row>
    <row r="23" ht="36" customHeight="1">
      <c r="A23" s="10" t="n">
        <v>22</v>
      </c>
      <c r="B23" s="10" t="inlineStr">
        <is>
          <t>Location Pages</t>
        </is>
      </c>
      <c r="C23" s="9" t="inlineStr">
        <is>
          <t>P2 - Medium</t>
        </is>
      </c>
      <c r="D23" s="8" t="inlineStr">
        <is>
          <t>Cambridge Appliance Repair</t>
        </is>
      </c>
      <c r="E23" s="8" t="inlineStr">
        <is>
          <t>/locations/cambridge-appliance-repair</t>
        </is>
      </c>
      <c r="F23" s="8" t="inlineStr">
        <is>
          <t>appliance repair cambridge, cambridge appliance repairman</t>
        </is>
      </c>
      <c r="G23" s="8" t="inlineStr">
        <is>
          <t>Appliance Repair Cambridge | Fast Emergency Repairs</t>
        </is>
      </c>
      <c r="H23" s="8" t="inlineStr">
        <is>
          <t>Emergency appliance repair in Cambridge, ON. Servicing all major brands with 100% satisfaction guarantee. Call 905-717-8905.</t>
        </is>
      </c>
      <c r="I23" s="8" t="inlineStr">
        <is>
          <t>Emergency Appliance Repair Services in Cambridge</t>
        </is>
      </c>
      <c r="J23" s="8" t="inlineStr">
        <is>
          <t>Call Cambridge Tech</t>
        </is>
      </c>
      <c r="K23" s="22" t="inlineStr">
        <is>
          <t>Not Started</t>
        </is>
      </c>
    </row>
    <row r="24" ht="36" customHeight="1">
      <c r="A24" s="18" t="n">
        <v>23</v>
      </c>
      <c r="B24" s="18" t="inlineStr">
        <is>
          <t>Location Pages</t>
        </is>
      </c>
      <c r="C24" s="19" t="inlineStr">
        <is>
          <t>P2 - Medium</t>
        </is>
      </c>
      <c r="D24" s="20" t="inlineStr">
        <is>
          <t>Guelph Appliance Repair</t>
        </is>
      </c>
      <c r="E24" s="20" t="inlineStr">
        <is>
          <t>/locations/guelph-appliance-repair</t>
        </is>
      </c>
      <c r="F24" s="20" t="inlineStr">
        <is>
          <t>appliance repair guelph, guelph appliance service</t>
        </is>
      </c>
      <c r="G24" s="20" t="inlineStr">
        <is>
          <t>Appliance Repair Guelph | Certified Local Technicians</t>
        </is>
      </c>
      <c r="H24" s="20" t="inlineStr">
        <is>
          <t>Fast and affordable appliance repair in Guelph. Washing machine, dryer, fridge, and oven repair experts. Book your service online!</t>
        </is>
      </c>
      <c r="I24" s="20" t="inlineStr">
        <is>
          <t>Certified Appliance Repair Services in Guelph</t>
        </is>
      </c>
      <c r="J24" s="20" t="inlineStr">
        <is>
          <t>Book Guelph Service</t>
        </is>
      </c>
      <c r="K24" s="22" t="inlineStr">
        <is>
          <t>Not Started</t>
        </is>
      </c>
    </row>
    <row r="25" ht="36" customHeight="1">
      <c r="A25" s="10" t="n">
        <v>24</v>
      </c>
      <c r="B25" s="10" t="inlineStr">
        <is>
          <t>Location Pages</t>
        </is>
      </c>
      <c r="C25" s="9" t="inlineStr">
        <is>
          <t>P2 - Medium</t>
        </is>
      </c>
      <c r="D25" s="8" t="inlineStr">
        <is>
          <t>Pickering Appliance Repair</t>
        </is>
      </c>
      <c r="E25" s="8" t="inlineStr">
        <is>
          <t>/locations/pickering-appliance-repair</t>
        </is>
      </c>
      <c r="F25" s="8" t="inlineStr">
        <is>
          <t>appliance repair pickering, pickering appliance technician</t>
        </is>
      </c>
      <c r="G25" s="8" t="inlineStr">
        <is>
          <t>Appliance Repair Pickering | Durham Region Specialists</t>
        </is>
      </c>
      <c r="H25" s="8" t="inlineStr">
        <is>
          <t>Prompt appliance repair in Pickering. Experienced repair technicians for all kitchen and laundry appliances. Call 905-717-8905.</t>
        </is>
      </c>
      <c r="I25" s="8" t="inlineStr">
        <is>
          <t>Prompt Appliance Repair Services in Pickering</t>
        </is>
      </c>
      <c r="J25" s="8" t="inlineStr">
        <is>
          <t>Call Pickering Tech</t>
        </is>
      </c>
      <c r="K25" s="22" t="inlineStr">
        <is>
          <t>Not Started</t>
        </is>
      </c>
    </row>
    <row r="26" ht="36" customHeight="1">
      <c r="A26" s="18" t="n">
        <v>25</v>
      </c>
      <c r="B26" s="18" t="inlineStr">
        <is>
          <t>Location Pages</t>
        </is>
      </c>
      <c r="C26" s="19" t="inlineStr">
        <is>
          <t>P2 - Medium</t>
        </is>
      </c>
      <c r="D26" s="20" t="inlineStr">
        <is>
          <t>Caledon Appliance Repair</t>
        </is>
      </c>
      <c r="E26" s="20" t="inlineStr">
        <is>
          <t>/locations/caledon-appliance-repair</t>
        </is>
      </c>
      <c r="F26" s="20" t="inlineStr">
        <is>
          <t>appliance repair caledon, caledon fridge repair</t>
        </is>
      </c>
      <c r="G26" s="20" t="inlineStr">
        <is>
          <t>Appliance Repair Caledon | Same-Day Service Guarantee</t>
        </is>
      </c>
      <c r="H26" s="20" t="inlineStr">
        <is>
          <t>Local appliance repair services in Caledon, ON. Fast troubleshooting and fix for all household appliances. Call 905-717-8905.</t>
        </is>
      </c>
      <c r="I26" s="20" t="inlineStr">
        <is>
          <t>Local Appliance Repair Services in Caledon</t>
        </is>
      </c>
      <c r="J26" s="20" t="inlineStr">
        <is>
          <t>Schedule in Caledon</t>
        </is>
      </c>
      <c r="K26" s="22" t="inlineStr">
        <is>
          <t>Not Started</t>
        </is>
      </c>
    </row>
    <row r="27" ht="36" customHeight="1">
      <c r="A27" s="10" t="n">
        <v>26</v>
      </c>
      <c r="B27" s="10" t="inlineStr">
        <is>
          <t>Location Pages</t>
        </is>
      </c>
      <c r="C27" s="9" t="inlineStr">
        <is>
          <t>P2 - Medium</t>
        </is>
      </c>
      <c r="D27" s="8" t="inlineStr">
        <is>
          <t>Oshawa Appliance Repair</t>
        </is>
      </c>
      <c r="E27" s="8" t="inlineStr">
        <is>
          <t>/locations/oshawa-appliance-repair</t>
        </is>
      </c>
      <c r="F27" s="8" t="inlineStr">
        <is>
          <t>appliance repair oshawa, oshawa washer repair</t>
        </is>
      </c>
      <c r="G27" s="8" t="inlineStr">
        <is>
          <t>Appliance Repair Oshawa | Fast &amp; Affordable Repairs</t>
        </is>
      </c>
      <c r="H27" s="8" t="inlineStr">
        <is>
          <t>Expert appliance repair service in Oshawa. Licensed technicians available 24/7 for emergency repairs. Upfront flat rates.</t>
        </is>
      </c>
      <c r="I27" s="8" t="inlineStr">
        <is>
          <t>Expert Appliance Repair Services in Oshawa</t>
        </is>
      </c>
      <c r="J27" s="8" t="inlineStr">
        <is>
          <t>Call Oshawa Tech</t>
        </is>
      </c>
      <c r="K27" s="22" t="inlineStr">
        <is>
          <t>Not Started</t>
        </is>
      </c>
    </row>
    <row r="28" ht="36" customHeight="1">
      <c r="A28" s="18" t="n">
        <v>27</v>
      </c>
      <c r="B28" s="18" t="inlineStr">
        <is>
          <t>Brand &amp; Legal</t>
        </is>
      </c>
      <c r="C28" s="19" t="inlineStr">
        <is>
          <t>P3 - Low</t>
        </is>
      </c>
      <c r="D28" s="20" t="inlineStr">
        <is>
          <t>About Us</t>
        </is>
      </c>
      <c r="E28" s="20" t="inlineStr">
        <is>
          <t>/about</t>
        </is>
      </c>
      <c r="F28" s="20" t="inlineStr">
        <is>
          <t>about appliance repair knights, appliance repair technicians GTA</t>
        </is>
      </c>
      <c r="G28" s="20" t="inlineStr">
        <is>
          <t>About Appliance Repair Knights | Trusted Local Technicians</t>
        </is>
      </c>
      <c r="H28" s="20" t="inlineStr">
        <is>
          <t>Learn about Appliance Repair Knights. Over 10+ years serving GTA with certified technicians, upfront pricing, and 100% satisfaction guarantee.</t>
        </is>
      </c>
      <c r="I28" s="20" t="inlineStr">
        <is>
          <t>About Appliance Repair Knights</t>
        </is>
      </c>
      <c r="J28" s="20" t="inlineStr">
        <is>
          <t>Read Our Story / Book Service</t>
        </is>
      </c>
      <c r="K28" s="22" t="inlineStr">
        <is>
          <t>Not Started</t>
        </is>
      </c>
    </row>
    <row r="29" ht="36" customHeight="1">
      <c r="A29" s="10" t="n">
        <v>28</v>
      </c>
      <c r="B29" s="10" t="inlineStr">
        <is>
          <t>Brand &amp; Legal</t>
        </is>
      </c>
      <c r="C29" s="9" t="inlineStr">
        <is>
          <t>P3 - Low</t>
        </is>
      </c>
      <c r="D29" s="8" t="inlineStr">
        <is>
          <t>Privacy Policy &amp; Warranty</t>
        </is>
      </c>
      <c r="E29" s="8" t="inlineStr">
        <is>
          <t>/privacy-policy</t>
        </is>
      </c>
      <c r="F29" s="8" t="inlineStr">
        <is>
          <t>appliance repair knights warranty, privacy policy</t>
        </is>
      </c>
      <c r="G29" s="8" t="inlineStr">
        <is>
          <t>Privacy Policy &amp; Service Warranty | Appliance Repair Knights</t>
        </is>
      </c>
      <c r="H29" s="8" t="inlineStr">
        <is>
          <t>Read our privacy policy and service warranty terms. 90-day parts and labor warranty on all appliance repair jobs across GTA.</t>
        </is>
      </c>
      <c r="I29" s="8" t="inlineStr">
        <is>
          <t>Privacy Policy &amp; Warranty Terms</t>
        </is>
      </c>
      <c r="J29" s="8" t="inlineStr">
        <is>
          <t>View Policy Details</t>
        </is>
      </c>
      <c r="K29" s="22" t="inlineStr">
        <is>
          <t>Not Started</t>
        </is>
      </c>
    </row>
  </sheetData>
  <dataValidations count="1">
    <dataValidation sqref="K2:K29" showDropDown="0" showInputMessage="0" showErrorMessage="0" allowBlank="0" type="list">
      <formula1>"Not Started, In Progress, In Review, 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55" customWidth="1" min="3" max="3"/>
  </cols>
  <sheetData>
    <row r="1">
      <c r="A1" s="23" t="inlineStr">
        <is>
          <t>On-Page SEO &amp; Redesign Best Practices Checklist</t>
        </is>
      </c>
    </row>
    <row r="3">
      <c r="A3" s="4" t="inlineStr">
        <is>
          <t>Element</t>
        </is>
      </c>
      <c r="B3" s="4" t="inlineStr">
        <is>
          <t>Best Practice Rule</t>
        </is>
      </c>
      <c r="C3" s="4" t="inlineStr">
        <is>
          <t>Appliance Repair Knights Strategy</t>
        </is>
      </c>
    </row>
    <row r="4" ht="28" customHeight="1">
      <c r="A4" s="6" t="inlineStr">
        <is>
          <t>Meta Title</t>
        </is>
      </c>
      <c r="B4" s="5" t="inlineStr">
        <is>
          <t>50 - 60 characters limit. Include Primary Keyword + City/Region + Phone / CTA.</t>
        </is>
      </c>
      <c r="C4" s="5" t="inlineStr">
        <is>
          <t>Include 'Appliance Repair', City Name, and Phone/24x7 hook.</t>
        </is>
      </c>
    </row>
    <row r="5" ht="28" customHeight="1">
      <c r="A5" s="9" t="inlineStr">
        <is>
          <t>Meta Description</t>
        </is>
      </c>
      <c r="B5" s="8" t="inlineStr">
        <is>
          <t>140 - 155 characters. High CTR copy with explicit call-to-action.</t>
        </is>
      </c>
      <c r="C5" s="8" t="inlineStr">
        <is>
          <t>Highlight 'Same-Day Service', 'Certified Technicians', and phone number 905-717-8905.</t>
        </is>
      </c>
    </row>
    <row r="6" ht="28" customHeight="1">
      <c r="A6" s="6" t="inlineStr">
        <is>
          <t>H1 Tag</t>
        </is>
      </c>
      <c r="B6" s="5" t="inlineStr">
        <is>
          <t>Exactly 1 H1 tag per page. Must contain primary keyword and target location.</t>
        </is>
      </c>
      <c r="C6" s="5" t="inlineStr">
        <is>
          <t>e.g., 'Professional Dishwasher Inspection &amp; Repair Services in Toronto'</t>
        </is>
      </c>
    </row>
    <row r="7" ht="28" customHeight="1">
      <c r="A7" s="9" t="inlineStr">
        <is>
          <t>URL Structure</t>
        </is>
      </c>
      <c r="B7" s="8" t="inlineStr">
        <is>
          <t>Short, lowercase, hyphen-separated, keyword-rich URLs.</t>
        </is>
      </c>
      <c r="C7" s="8" t="inlineStr">
        <is>
          <t>e.g., /locations/brampton-appliance-repair or /services/dishwasher-repair</t>
        </is>
      </c>
    </row>
    <row r="8" ht="28" customHeight="1">
      <c r="A8" s="6" t="inlineStr">
        <is>
          <t>Sticky CTA Header</t>
        </is>
      </c>
      <c r="B8" s="5" t="inlineStr">
        <is>
          <t>Header must be sticky with instant Click-to-Call button.</t>
        </is>
      </c>
      <c r="C8" s="5" t="inlineStr">
        <is>
          <t>Always display phone 905-717-8905 and 'Book Online' button in header.</t>
        </is>
      </c>
    </row>
    <row r="9" ht="28" customHeight="1">
      <c r="A9" s="9" t="inlineStr">
        <is>
          <t>Schema Markup</t>
        </is>
      </c>
      <c r="B9" s="8" t="inlineStr">
        <is>
          <t>Implement JSON-LD Schema on all pages.</t>
        </is>
      </c>
      <c r="C9" s="8" t="inlineStr">
        <is>
          <t>Add LocalBusiness schema on Homepage, Service schema on service pages, and FAQPage schema.</t>
        </is>
      </c>
    </row>
    <row r="10" ht="28" customHeight="1">
      <c r="A10" s="6" t="inlineStr">
        <is>
          <t>Trust Badges</t>
        </is>
      </c>
      <c r="B10" s="5" t="inlineStr">
        <is>
          <t>Display near top fold / hero section.</t>
        </is>
      </c>
      <c r="C10" s="5" t="inlineStr">
        <is>
          <t>Badges: Same-Day Available, Licensed Technicians, Upfront Flat Rates, 90-Day Warranty.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2026-08-04T16:16:04Z</dcterms:created>
  <dcterms:modified xmlns:dcterms="http://purl.org/dc/terms/" xmlns:xsi="http://www.w3.org/2001/XMLSchema-instance" xsi:type="dcterms:W3CDTF">2026-08-07T09:28:07Z</dcterms:modified>
</cp:coreProperties>
</file>